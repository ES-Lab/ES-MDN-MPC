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b_nijenhuis-1_utwente_nl/Documents/Documents/CIRED22/Slimpark-Gridshield/generate_sessions_from_evTypes/"/>
    </mc:Choice>
  </mc:AlternateContent>
  <xr:revisionPtr revIDLastSave="129" documentId="11_E60897F41BE170836B02CE998F75CCDC64E183C8" xr6:coauthVersionLast="47" xr6:coauthVersionMax="47" xr10:uidLastSave="{F4C6B1E8-32C5-45EF-961A-C4CDB7244E9C}"/>
  <bookViews>
    <workbookView xWindow="4950" yWindow="-19365" windowWidth="28800" windowHeight="15375" xr2:uid="{00000000-000D-0000-FFFF-FFFF00000000}"/>
  </bookViews>
  <sheets>
    <sheet name="bev" sheetId="1" r:id="rId1"/>
    <sheet name="phev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6" i="1"/>
  <c r="D5" i="1"/>
  <c r="D4" i="1"/>
  <c r="D3" i="1"/>
  <c r="D2" i="1"/>
  <c r="C12" i="1"/>
  <c r="D5" i="2"/>
  <c r="D12" i="2"/>
  <c r="D11" i="2"/>
  <c r="D10" i="2"/>
  <c r="D9" i="2"/>
  <c r="D8" i="2"/>
  <c r="D7" i="2"/>
  <c r="D6" i="2"/>
  <c r="D4" i="2"/>
  <c r="D3" i="2"/>
  <c r="D2" i="2"/>
  <c r="C12" i="2"/>
</calcChain>
</file>

<file path=xl/sharedStrings.xml><?xml version="1.0" encoding="utf-8"?>
<sst xmlns="http://schemas.openxmlformats.org/spreadsheetml/2006/main" count="50" uniqueCount="45">
  <si>
    <t>model</t>
  </si>
  <si>
    <t>id</t>
  </si>
  <si>
    <t>number</t>
  </si>
  <si>
    <t>probability</t>
  </si>
  <si>
    <t>Tesla Model 3 SR+</t>
  </si>
  <si>
    <t>93c82e06-1aa3-4c19-8f81-b9fac0c598c3</t>
  </si>
  <si>
    <t>Kia e-Niro 64 kWh</t>
  </si>
  <si>
    <t>0f7eae0b-43be-48f8-b4a0-1a8266fd07a9</t>
  </si>
  <si>
    <t>Hyundai Kona</t>
  </si>
  <si>
    <t>c1fd1277-5d77-416b-bb25-84bd21f57963</t>
  </si>
  <si>
    <t>Volkswagen ID.3 58 kWh</t>
  </si>
  <si>
    <t>d8044adf-2538-4d45-b2d8-2b2fd0951766</t>
  </si>
  <si>
    <t>Tesla Model S</t>
  </si>
  <si>
    <t>0551e45d-a5f5-4b78-b119-092b1b63a6bb</t>
  </si>
  <si>
    <t>Renault Zoe R90</t>
  </si>
  <si>
    <t>737441e8-6b5f-4185-9b0b-e51585ab6ea8</t>
  </si>
  <si>
    <t>Volkswagen e-Golf 2020</t>
  </si>
  <si>
    <t>3fc921eb-7a43-4b09-a819-73b9d5a5c14f</t>
  </si>
  <si>
    <t>Nissan Leaf 40 kWh</t>
  </si>
  <si>
    <t>77028f96-eb9b-4c65-b452-c92011b1fc1c</t>
  </si>
  <si>
    <t>BMW i3 120 Ah</t>
  </si>
  <si>
    <t>dbf24ffc-3270-409b-b4da-ec386fa36657</t>
  </si>
  <si>
    <t>Tesla Model X 100D</t>
  </si>
  <si>
    <t>7490520f-fe11-4148-a9b6-3882f06ee082</t>
  </si>
  <si>
    <t>total</t>
  </si>
  <si>
    <t>Mitsubishi Outlander PHEV</t>
  </si>
  <si>
    <t>1847e3aa-750c-4b12-a80a-56e792b3aadb</t>
  </si>
  <si>
    <t>Volvo V60</t>
  </si>
  <si>
    <t>0a31fa47-556e-dc2f-89d8-a6a1ccc22c30</t>
  </si>
  <si>
    <t>Volkswagen Golf</t>
  </si>
  <si>
    <t>15023eb9-eba6-436e-ad98-2086f1cb31c4</t>
  </si>
  <si>
    <t>Volvo XC90</t>
  </si>
  <si>
    <t>063c3bc4-2940-f3cd-f1e2-96ea29a11f3c</t>
  </si>
  <si>
    <t>Volkswagen Passat</t>
  </si>
  <si>
    <t>ec3b0af7-67c6-400d-b3c2-aa2f3be24c8a</t>
  </si>
  <si>
    <t>Audi A3 Sportback e-tron</t>
  </si>
  <si>
    <t>c8e05c0b-05c0-4aac-9f12-35a6a3687e10</t>
  </si>
  <si>
    <t>Mercedes-Benz C350 E</t>
  </si>
  <si>
    <t>4a5d82a6-9778-41a6-8e85-1fa108897f30</t>
  </si>
  <si>
    <t>Volvo XC40</t>
  </si>
  <si>
    <t>a746d26e-2a73-4816-a0e4-a40bfb6ba7d7</t>
  </si>
  <si>
    <t>BMW 3 Serie</t>
  </si>
  <si>
    <t>8653e2d2-5e7d-5172-89ef-71ba177ec0ee</t>
  </si>
  <si>
    <t>Volvo XC60</t>
  </si>
  <si>
    <t>ac812f08-3c8a-4af5-a07a-b520ec9e16cc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</si>
</sst>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2" sqref="B2"/>
    </sheetView>
  </sheetViews>
  <sheetFormatPr defaultRowHeight="14.4" x14ac:dyDescent="0.3"/>
  <cols>
    <col min="1" max="1" width="25.5546875" customWidth="1"/>
    <col min="2" max="2" width="45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40338</v>
      </c>
      <c r="D2">
        <f>C2/C12</f>
        <v>0.30045360763312157</v>
      </c>
    </row>
    <row r="3" spans="1:4" x14ac:dyDescent="0.3">
      <c r="A3" t="s">
        <v>6</v>
      </c>
      <c r="B3" t="s">
        <v>7</v>
      </c>
      <c r="C3">
        <v>14809</v>
      </c>
      <c r="D3">
        <f>C3/C12</f>
        <v>0.11030337338090379</v>
      </c>
    </row>
    <row r="4" spans="1:4" x14ac:dyDescent="0.3">
      <c r="A4" t="s">
        <v>8</v>
      </c>
      <c r="B4" t="s">
        <v>9</v>
      </c>
      <c r="C4">
        <v>14414</v>
      </c>
      <c r="D4">
        <f>C4/C12</f>
        <v>0.10736125490663428</v>
      </c>
    </row>
    <row r="5" spans="1:4" x14ac:dyDescent="0.3">
      <c r="A5" t="s">
        <v>10</v>
      </c>
      <c r="B5" t="s">
        <v>11</v>
      </c>
      <c r="C5">
        <v>12203</v>
      </c>
      <c r="D5">
        <f>C5/C12</f>
        <v>9.0892839851925783E-2</v>
      </c>
    </row>
    <row r="6" spans="1:4" x14ac:dyDescent="0.3">
      <c r="A6" t="s">
        <v>12</v>
      </c>
      <c r="B6" t="s">
        <v>13</v>
      </c>
      <c r="C6">
        <v>11976</v>
      </c>
      <c r="D6">
        <f>C6/C12</f>
        <v>8.9202052779370905E-2</v>
      </c>
    </row>
    <row r="7" spans="1:4" x14ac:dyDescent="0.3">
      <c r="A7" t="s">
        <v>14</v>
      </c>
      <c r="B7" t="s">
        <v>15</v>
      </c>
      <c r="C7">
        <v>10378</v>
      </c>
      <c r="D7">
        <f>C7/C12</f>
        <v>7.7299507660680639E-2</v>
      </c>
    </row>
    <row r="8" spans="1:4" x14ac:dyDescent="0.3">
      <c r="A8" t="s">
        <v>16</v>
      </c>
      <c r="B8" t="s">
        <v>17</v>
      </c>
      <c r="C8">
        <v>10081</v>
      </c>
      <c r="D8">
        <f>C8/C12</f>
        <v>7.5087332504077994E-2</v>
      </c>
    </row>
    <row r="9" spans="1:4" x14ac:dyDescent="0.3">
      <c r="A9" t="s">
        <v>18</v>
      </c>
      <c r="B9" t="s">
        <v>19</v>
      </c>
      <c r="C9">
        <v>8713</v>
      </c>
      <c r="D9">
        <f>C9/C12</f>
        <v>6.4897919661544651E-2</v>
      </c>
    </row>
    <row r="10" spans="1:4" x14ac:dyDescent="0.3">
      <c r="A10" t="s">
        <v>20</v>
      </c>
      <c r="B10" t="s">
        <v>21</v>
      </c>
      <c r="C10">
        <v>6159</v>
      </c>
      <c r="D10">
        <f>C10/C12</f>
        <v>4.5874702995002126E-2</v>
      </c>
    </row>
    <row r="11" spans="1:4" x14ac:dyDescent="0.3">
      <c r="A11" t="s">
        <v>22</v>
      </c>
      <c r="B11" t="s">
        <v>23</v>
      </c>
      <c r="C11">
        <v>5186</v>
      </c>
      <c r="D11">
        <f>C11/C12</f>
        <v>3.8627408626738267E-2</v>
      </c>
    </row>
    <row r="12" spans="1:4" x14ac:dyDescent="0.3">
      <c r="A12" t="s">
        <v>24</v>
      </c>
      <c r="B12">
        <v>0</v>
      </c>
      <c r="C12">
        <f>SUM(C2:C11)</f>
        <v>134257</v>
      </c>
      <c r="D12">
        <f>SUM(D2:D11)</f>
        <v>0.99999999999999989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4027-44C2-49DC-9F04-66089B3B81F8}">
  <dimension ref="A1:D12"/>
  <sheetViews>
    <sheetView workbookViewId="0">
      <selection activeCell="B11" sqref="B11"/>
    </sheetView>
  </sheetViews>
  <sheetFormatPr defaultRowHeight="14.4" x14ac:dyDescent="0.3"/>
  <cols>
    <col min="1" max="1" width="37.109375" customWidth="1"/>
    <col min="2" max="2" width="41.6640625" customWidth="1"/>
    <col min="3" max="3" width="34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25</v>
      </c>
      <c r="B2" t="s">
        <v>26</v>
      </c>
      <c r="C2">
        <v>12506</v>
      </c>
      <c r="D2">
        <f>C2/C12</f>
        <v>0.17573492215164971</v>
      </c>
    </row>
    <row r="3" spans="1:4" x14ac:dyDescent="0.3">
      <c r="A3" t="s">
        <v>27</v>
      </c>
      <c r="B3" t="s">
        <v>28</v>
      </c>
      <c r="C3">
        <v>11431</v>
      </c>
      <c r="D3">
        <f>C3/C12</f>
        <v>0.16062896970378282</v>
      </c>
    </row>
    <row r="4" spans="1:4" x14ac:dyDescent="0.3">
      <c r="A4" t="s">
        <v>29</v>
      </c>
      <c r="B4" t="s">
        <v>30</v>
      </c>
      <c r="C4">
        <v>9023</v>
      </c>
      <c r="D4">
        <f>C4/C12</f>
        <v>0.12679163622056097</v>
      </c>
    </row>
    <row r="5" spans="1:4" x14ac:dyDescent="0.3">
      <c r="A5" t="s">
        <v>31</v>
      </c>
      <c r="B5" t="s">
        <v>32</v>
      </c>
      <c r="C5">
        <v>7256</v>
      </c>
      <c r="D5">
        <f>C5/C12</f>
        <v>0.10196166601090439</v>
      </c>
    </row>
    <row r="6" spans="1:4" x14ac:dyDescent="0.3">
      <c r="A6" t="s">
        <v>33</v>
      </c>
      <c r="B6" t="s">
        <v>34</v>
      </c>
      <c r="C6">
        <v>7030</v>
      </c>
      <c r="D6">
        <f>C6/C12</f>
        <v>9.8785902984655158E-2</v>
      </c>
    </row>
    <row r="7" spans="1:4" x14ac:dyDescent="0.3">
      <c r="A7" t="s">
        <v>35</v>
      </c>
      <c r="B7" t="s">
        <v>36</v>
      </c>
      <c r="C7">
        <v>6251</v>
      </c>
      <c r="D7">
        <f>C7/C12</f>
        <v>8.7839356978247435E-2</v>
      </c>
    </row>
    <row r="8" spans="1:4" x14ac:dyDescent="0.3">
      <c r="A8" t="s">
        <v>37</v>
      </c>
      <c r="B8" t="s">
        <v>38</v>
      </c>
      <c r="C8">
        <v>4849</v>
      </c>
      <c r="D8">
        <f>C8/C12</f>
        <v>6.8138384576471256E-2</v>
      </c>
    </row>
    <row r="9" spans="1:4" x14ac:dyDescent="0.3">
      <c r="A9" t="s">
        <v>39</v>
      </c>
      <c r="B9" t="s">
        <v>40</v>
      </c>
      <c r="C9">
        <v>4678</v>
      </c>
      <c r="D9">
        <f>C9/C12</f>
        <v>6.573548423360126E-2</v>
      </c>
    </row>
    <row r="10" spans="1:4" x14ac:dyDescent="0.3">
      <c r="A10" t="s">
        <v>41</v>
      </c>
      <c r="B10" t="s">
        <v>42</v>
      </c>
      <c r="C10">
        <v>4163</v>
      </c>
      <c r="D10">
        <f>C10/C12</f>
        <v>5.849867910741386E-2</v>
      </c>
    </row>
    <row r="11" spans="1:4" x14ac:dyDescent="0.3">
      <c r="A11" t="s">
        <v>43</v>
      </c>
      <c r="B11" t="s">
        <v>44</v>
      </c>
      <c r="C11">
        <v>3977</v>
      </c>
      <c r="D11">
        <f>C11/C12</f>
        <v>5.5884998032713171E-2</v>
      </c>
    </row>
    <row r="12" spans="1:4" x14ac:dyDescent="0.3">
      <c r="A12" t="s">
        <v>24</v>
      </c>
      <c r="B12">
        <v>0</v>
      </c>
      <c r="C12">
        <f>SUM(C2:C11)</f>
        <v>71164</v>
      </c>
      <c r="D12">
        <f>SUM(D2:D11)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bev</vt:lpstr>
      <vt:lpstr>phev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Nijenhuis, Bart (UT-EEMCS)</cp:lastModifiedBy>
  <cp:revision/>
  <dcterms:created xsi:type="dcterms:W3CDTF">2022-01-13T12:19:50Z</dcterms:created>
  <dcterms:modified xsi:type="dcterms:W3CDTF">2022-07-20T07:31:41Z</dcterms:modified>
  <cp:category/>
  <cp:contentStatus/>
</cp:coreProperties>
</file>